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c7a18e5a03e9fe/Desktop/StatExperiment/"/>
    </mc:Choice>
  </mc:AlternateContent>
  <xr:revisionPtr revIDLastSave="56" documentId="8_{C13DD3F7-B0EB-4F65-B4D4-8E1227CAA9EC}" xr6:coauthVersionLast="47" xr6:coauthVersionMax="47" xr10:uidLastSave="{0EC1D250-A7E1-4D2F-A054-BA7829357B70}"/>
  <bookViews>
    <workbookView xWindow="-108" yWindow="-108" windowWidth="23256" windowHeight="12456" xr2:uid="{3DF466ED-C8BC-4461-9860-37BB0FAEB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E3" i="1"/>
  <c r="E4" i="1"/>
  <c r="E5" i="1"/>
  <c r="E2" i="1"/>
  <c r="E6" i="1"/>
  <c r="I2" i="1" s="1"/>
  <c r="D6" i="1"/>
  <c r="D3" i="1"/>
  <c r="D4" i="1"/>
  <c r="D5" i="1"/>
  <c r="D2" i="1"/>
  <c r="G2" i="1"/>
  <c r="C3" i="1"/>
  <c r="C4" i="1"/>
  <c r="C5" i="1"/>
  <c r="C2" i="1"/>
</calcChain>
</file>

<file path=xl/sharedStrings.xml><?xml version="1.0" encoding="utf-8"?>
<sst xmlns="http://schemas.openxmlformats.org/spreadsheetml/2006/main" count="13" uniqueCount="13">
  <si>
    <t>x</t>
  </si>
  <si>
    <t>y</t>
  </si>
  <si>
    <t>y*</t>
  </si>
  <si>
    <t xml:space="preserve">y mean </t>
  </si>
  <si>
    <t>Sum</t>
  </si>
  <si>
    <t>Sqrd-Error w/ the line</t>
  </si>
  <si>
    <t>Sqrd-Error w/ the y mean</t>
  </si>
  <si>
    <t>R-Squared</t>
  </si>
  <si>
    <t>Note</t>
  </si>
  <si>
    <t>y* is the predicted y values by the regression line</t>
  </si>
  <si>
    <t>Interpretations</t>
  </si>
  <si>
    <t>of the variation is not explained by the variation in x (by the regression line)</t>
  </si>
  <si>
    <t>of the variation is explained by the variation in x (by the regression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</si>
</sst>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Sheet1!$A$2:$A$5</c:f>
              <c:numCache>
                <c:formatCode>General</c:formatCode>
                <c:ptCount val="4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4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-3</c:v>
                </c:pt>
                <c:pt idx="1">
                  <c:v>-1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3-4C79-AC47-1916F2DE9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84624"/>
        <c:axId val="356783792"/>
      </c:scatterChart>
      <c:valAx>
        <c:axId val="35678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56783792"/>
        <c:crosses val="autoZero"/>
        <c:crossBetween val="midCat"/>
      </c:valAx>
      <c:valAx>
        <c:axId val="3567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5678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8</xdr:row>
      <xdr:rowOff>99060</xdr:rowOff>
    </xdr:from>
    <xdr:to>
      <xdr:col>5</xdr:col>
      <xdr:colOff>335280</xdr:colOff>
      <xdr:row>23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983BE3-2A79-59E7-9A87-64080C8F4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711B-3B77-4EB3-B97D-71C9B97579B7}">
  <dimension ref="A1:I8"/>
  <sheetViews>
    <sheetView tabSelected="1" workbookViewId="0">
      <selection activeCell="J18" sqref="J18"/>
    </sheetView>
  </sheetViews>
  <sheetFormatPr defaultRowHeight="14.4" x14ac:dyDescent="0.3"/>
  <cols>
    <col min="3" max="3" width="11.21875" customWidth="1"/>
    <col min="4" max="4" width="19.33203125" customWidth="1"/>
    <col min="5" max="5" width="23" customWidth="1"/>
    <col min="7" max="7" width="14.109375" customWidth="1"/>
    <col min="9" max="9" width="12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G1" s="2" t="s">
        <v>3</v>
      </c>
      <c r="I1" s="6" t="s">
        <v>7</v>
      </c>
    </row>
    <row r="2" spans="1:9" x14ac:dyDescent="0.3">
      <c r="A2" s="3">
        <v>-2</v>
      </c>
      <c r="B2" s="3">
        <v>-3</v>
      </c>
      <c r="C2" s="3">
        <f>(41/42)*A2-(5/21)</f>
        <v>-2.1904761904761902</v>
      </c>
      <c r="D2" s="3">
        <f>(B2-C2)^2</f>
        <v>0.65532879818594147</v>
      </c>
      <c r="E2" s="3">
        <f>(B2-$G$2)^2</f>
        <v>10.5625</v>
      </c>
      <c r="G2" s="3">
        <f>AVERAGE(B2:B5)</f>
        <v>0.25</v>
      </c>
      <c r="I2" s="3">
        <f>1-(D6/E6)</f>
        <v>0.87964416535845102</v>
      </c>
    </row>
    <row r="3" spans="1:9" x14ac:dyDescent="0.3">
      <c r="A3" s="3">
        <v>-1</v>
      </c>
      <c r="B3" s="3">
        <v>-1</v>
      </c>
      <c r="C3" s="3">
        <f t="shared" ref="C3:C5" si="0">(41/42)*A3-(5/21)</f>
        <v>-1.2142857142857142</v>
      </c>
      <c r="D3" s="3">
        <f t="shared" ref="D3:D5" si="1">(B3-C3)^2</f>
        <v>4.5918367346938736E-2</v>
      </c>
      <c r="E3" s="3">
        <f t="shared" ref="E3:E5" si="2">(B3-$G$2)^2</f>
        <v>1.5625</v>
      </c>
    </row>
    <row r="4" spans="1:9" x14ac:dyDescent="0.3">
      <c r="A4" s="3">
        <v>1</v>
      </c>
      <c r="B4" s="3">
        <v>2</v>
      </c>
      <c r="C4" s="3">
        <f t="shared" si="0"/>
        <v>0.73809523809523814</v>
      </c>
      <c r="D4" s="3">
        <f t="shared" si="1"/>
        <v>1.5924036281179137</v>
      </c>
      <c r="E4" s="3">
        <f t="shared" si="2"/>
        <v>3.0625</v>
      </c>
    </row>
    <row r="5" spans="1:9" x14ac:dyDescent="0.3">
      <c r="A5" s="3">
        <v>4</v>
      </c>
      <c r="B5" s="3">
        <v>3</v>
      </c>
      <c r="C5" s="3">
        <f t="shared" si="0"/>
        <v>3.6666666666666665</v>
      </c>
      <c r="D5" s="3">
        <f t="shared" si="1"/>
        <v>0.44444444444444425</v>
      </c>
      <c r="E5" s="3">
        <f t="shared" si="2"/>
        <v>7.5625</v>
      </c>
    </row>
    <row r="6" spans="1:9" x14ac:dyDescent="0.3">
      <c r="A6" s="5"/>
      <c r="B6" s="5"/>
      <c r="C6" s="2" t="s">
        <v>4</v>
      </c>
      <c r="D6" s="4">
        <f>SUM(D2:D5)</f>
        <v>2.7380952380952381</v>
      </c>
      <c r="E6" s="4">
        <f>SUM(E2:E5)</f>
        <v>22.75</v>
      </c>
      <c r="G6" s="1" t="s">
        <v>10</v>
      </c>
    </row>
    <row r="7" spans="1:9" x14ac:dyDescent="0.3">
      <c r="G7">
        <f>D6/E6</f>
        <v>0.12035583464154893</v>
      </c>
      <c r="H7" t="s">
        <v>11</v>
      </c>
    </row>
    <row r="8" spans="1:9" x14ac:dyDescent="0.3">
      <c r="A8" s="1" t="s">
        <v>8</v>
      </c>
      <c r="B8" t="s">
        <v>9</v>
      </c>
      <c r="G8">
        <f>I2</f>
        <v>0.87964416535845102</v>
      </c>
      <c r="H8" t="s">
        <v>12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Junious</dc:creator>
  <cp:lastModifiedBy>Felix</cp:lastModifiedBy>
  <dcterms:created xsi:type="dcterms:W3CDTF">2023-12-01T13:27:24Z</dcterms:created>
  <dcterms:modified xsi:type="dcterms:W3CDTF">2023-12-01T13:44:54Z</dcterms:modified>
</cp:coreProperties>
</file>